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Community Pipeline" sheetId="2" state="visible" r:id="rId4"/>
    <sheet name="Dashboard" sheetId="3" state="visible" r:id="rId5"/>
    <sheet name="Find More" sheetId="4" state="visible" r:id="rId6"/>
    <sheet name="Content Bank" sheetId="5" state="visible" r:id="rId7"/>
    <sheet name="UTM Builder"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<sst xmlns="http://schemas.openxmlformats.org/spreadsheetml/2006/main" count="403" uniqueCount="308">
  <si>
    <t xml:space="preserve">ResumeForge — Community Marketing System</t>
  </si>
  <si>
    <t xml:space="preserve">Turn the manual 'search groups → join → post' grind into a tracked, semi-automated workflow.</t>
  </si>
  <si>
    <t xml:space="preserve">THE GOLDEN RULE</t>
  </si>
  <si>
    <t xml:space="preserve">Automate DISCOVERY, DRAFTING, SCHEDULING and TRACKING. Keep a HUMAN on joining a community and posting the first message. Auto-joining and auto-blasting the same promo = instant bans and a burned brand. Communities welcome people who read the rules and add value first.</t>
  </si>
  <si>
    <t xml:space="preserve">THE 4-LAYER WORKFLOW</t>
  </si>
  <si>
    <t xml:space="preserve">1. DISCOVER (auto)</t>
  </si>
  <si>
    <t xml:space="preserve">Use the 'Find More' tab: directories + ready search queries surface new groups. Drop them into 'Community Pipeline' (status = Backlog).</t>
  </si>
  <si>
    <t xml:space="preserve">2. CREATE (auto)</t>
  </si>
  <si>
    <t xml:space="preserve">Use 'Content Bank': one core message, pre-written per platform. Adapt, don't rewrite.</t>
  </si>
  <si>
    <t xml:space="preserve">3. POST (semi-auto)</t>
  </si>
  <si>
    <t xml:space="preserve">Own channels (LinkedIn/IG/YouTube/your Telegram) → schedule via Buffer/Publer/Metricool. Third-party groups → you join + post by hand (2 min), stay unbanned.</t>
  </si>
  <si>
    <t xml:space="preserve">4. TRACK (auto)</t>
  </si>
  <si>
    <t xml:space="preserve">Give every post a UTM link ('UTM Builder' tab). 'Dashboard' shows what converts. Never post to the same group twice unknowingly.</t>
  </si>
  <si>
    <t xml:space="preserve">TABS</t>
  </si>
  <si>
    <t xml:space="preserve">Dashboard</t>
  </si>
  <si>
    <t xml:space="preserve">Live counts of your pipeline + conversion rate.</t>
  </si>
  <si>
    <t xml:space="preserve">Community Pipeline</t>
  </si>
  <si>
    <t xml:space="preserve">Your seeded tracker. Update Status as you go. This is the heart of the system.</t>
  </si>
  <si>
    <t xml:space="preserve">Find More</t>
  </si>
  <si>
    <t xml:space="preserve">Directories + copy-paste search queries to keep finding groups.</t>
  </si>
  <si>
    <t xml:space="preserve">Content Bank</t>
  </si>
  <si>
    <t xml:space="preserve">Ready-to-adapt posts for every platform.</t>
  </si>
  <si>
    <t xml:space="preserve">UTM Builder</t>
  </si>
  <si>
    <t xml:space="preserve">Auto-builds tracking links so you know which group sends signups.</t>
  </si>
  <si>
    <t xml:space="preserve">Community Pipeline  —  update the Status column as you progress</t>
  </si>
  <si>
    <t xml:space="preserve">Community / Group</t>
  </si>
  <si>
    <t xml:space="preserve">Platform</t>
  </si>
  <si>
    <t xml:space="preserve">Category</t>
  </si>
  <si>
    <t xml:space="preserve">Where to find (link)</t>
  </si>
  <si>
    <t xml:space="preserve">Est. size</t>
  </si>
  <si>
    <t xml:space="preserve">Self-promo rule</t>
  </si>
  <si>
    <t xml:space="preserve">Status</t>
  </si>
  <si>
    <t xml:space="preserve">UTM source tag</t>
  </si>
  <si>
    <t xml:space="preserve">Last posted</t>
  </si>
  <si>
    <t xml:space="preserve">Signups</t>
  </si>
  <si>
    <t xml:space="preserve">Notes</t>
  </si>
  <si>
    <t xml:space="preserve">The Coding Den</t>
  </si>
  <si>
    <t xml:space="preserve">Discord</t>
  </si>
  <si>
    <t xml:space="preserve">General dev</t>
  </si>
  <si>
    <t xml:space="preserve">https://disboard.org/servers/tag/developer</t>
  </si>
  <si>
    <t xml:space="preserve">~117k</t>
  </si>
  <si>
    <t xml:space="preserve">#self-promo only</t>
  </si>
  <si>
    <t xml:space="preserve">Backlog</t>
  </si>
  <si>
    <t xml:space="preserve">discord_codingden</t>
  </si>
  <si>
    <t xml:space="preserve">Huge; share in self-promo channel + help others first.</t>
  </si>
  <si>
    <t xml:space="preserve">The Programmer's Hangout</t>
  </si>
  <si>
    <t xml:space="preserve">~130k</t>
  </si>
  <si>
    <t xml:space="preserve">Ask mods</t>
  </si>
  <si>
    <t xml:space="preserve">discord_tph</t>
  </si>
  <si>
    <t xml:space="preserve">One of the largest. Read rules; contribute before posting.</t>
  </si>
  <si>
    <t xml:space="preserve">WebTeach</t>
  </si>
  <si>
    <t xml:space="preserve">Web dev</t>
  </si>
  <si>
    <t xml:space="preserve">https://disboard.org/servers/tag/web-development</t>
  </si>
  <si>
    <t xml:space="preserve">Large</t>
  </si>
  <si>
    <t xml:space="preserve">Unknown</t>
  </si>
  <si>
    <t xml:space="preserve">discord_webteach</t>
  </si>
  <si>
    <t xml:space="preserve">Project-showcase channel is ideal for ResumeForge.</t>
  </si>
  <si>
    <t xml:space="preserve">SpeakJS</t>
  </si>
  <si>
    <t xml:space="preserve">Frontend/JS</t>
  </si>
  <si>
    <t xml:space="preserve">https://disboard.org/servers/tag/javascript</t>
  </si>
  <si>
    <t xml:space="preserve">~29k</t>
  </si>
  <si>
    <t xml:space="preserve">discord_speakjs</t>
  </si>
  <si>
    <t xml:space="preserve">JS/React crowd = your ICP (GitHub projects).</t>
  </si>
  <si>
    <t xml:space="preserve">Developer Den</t>
  </si>
  <si>
    <t xml:space="preserve">discord_devden</t>
  </si>
  <si>
    <t xml:space="preserve">Beginner-friendly; good for feedback.</t>
  </si>
  <si>
    <t xml:space="preserve">Reactiflux</t>
  </si>
  <si>
    <t xml:space="preserve">React</t>
  </si>
  <si>
    <t xml:space="preserve">https://www.reactiflux.com/</t>
  </si>
  <si>
    <t xml:space="preserve">Very large</t>
  </si>
  <si>
    <t xml:space="preserve">Check #rules</t>
  </si>
  <si>
    <t xml:space="preserve">discord_reactiflux</t>
  </si>
  <si>
    <t xml:space="preserve">Strict on promo; engage genuinely.</t>
  </si>
  <si>
    <t xml:space="preserve">Python Discord</t>
  </si>
  <si>
    <t xml:space="preserve">Python</t>
  </si>
  <si>
    <t xml:space="preserve">https://www.pythondiscord.com/</t>
  </si>
  <si>
    <t xml:space="preserve">Banned (mostly)</t>
  </si>
  <si>
    <t xml:space="preserve">discord_python</t>
  </si>
  <si>
    <t xml:space="preserve">Self-promo generally not allowed — relationship-only.</t>
  </si>
  <si>
    <t xml:space="preserve">r/webdev</t>
  </si>
  <si>
    <t xml:space="preserve">Reddit</t>
  </si>
  <si>
    <t xml:space="preserve">https://reddit.com/r/webdev</t>
  </si>
  <si>
    <t xml:space="preserve">~2M</t>
  </si>
  <si>
    <t xml:space="preserve">Showoff Saturday</t>
  </si>
  <si>
    <t xml:space="preserve">reddit_webdev</t>
  </si>
  <si>
    <t xml:space="preserve">Share projects only in the weekly showcase thread.</t>
  </si>
  <si>
    <t xml:space="preserve">r/SideProject</t>
  </si>
  <si>
    <t xml:space="preserve">Launches</t>
  </si>
  <si>
    <t xml:space="preserve">https://reddit.com/r/SideProject</t>
  </si>
  <si>
    <t xml:space="preserve">~200k</t>
  </si>
  <si>
    <t xml:space="preserve">Allowed</t>
  </si>
  <si>
    <t xml:space="preserve">reddit_sideproject</t>
  </si>
  <si>
    <t xml:space="preserve">Built for sharing your product. Great launch spot.</t>
  </si>
  <si>
    <t xml:space="preserve">r/learnprogramming</t>
  </si>
  <si>
    <t xml:space="preserve">Students/beginners</t>
  </si>
  <si>
    <t xml:space="preserve">https://reddit.com/r/learnprogramming</t>
  </si>
  <si>
    <t xml:space="preserve">~4M</t>
  </si>
  <si>
    <t xml:space="preserve">Restricted</t>
  </si>
  <si>
    <t xml:space="preserve">reddit_learnprog</t>
  </si>
  <si>
    <t xml:space="preserve">Help-first; no direct promo. Answer resume questions.</t>
  </si>
  <si>
    <t xml:space="preserve">r/cscareerquestions</t>
  </si>
  <si>
    <t xml:space="preserve">Careers</t>
  </si>
  <si>
    <t xml:space="preserve">https://reddit.com/r/cscareerquestions</t>
  </si>
  <si>
    <t xml:space="preserve">~3M</t>
  </si>
  <si>
    <t xml:space="preserve">No self-promo</t>
  </si>
  <si>
    <t xml:space="preserve">reddit_cscq</t>
  </si>
  <si>
    <t xml:space="preserve">Value only; link ResumeForge sparingly in helpful replies.</t>
  </si>
  <si>
    <t xml:space="preserve">r/developersIndia</t>
  </si>
  <si>
    <t xml:space="preserve">India devs</t>
  </si>
  <si>
    <t xml:space="preserve">https://reddit.com/r/developersIndia</t>
  </si>
  <si>
    <t xml:space="preserve">~200k+</t>
  </si>
  <si>
    <t xml:space="preserve">Check rules</t>
  </si>
  <si>
    <t xml:space="preserve">reddit_devindia</t>
  </si>
  <si>
    <t xml:space="preserve">Your home market. Read the self-promo policy.</t>
  </si>
  <si>
    <t xml:space="preserve">r/resumes</t>
  </si>
  <si>
    <t xml:space="preserve">Resume feedback</t>
  </si>
  <si>
    <t xml:space="preserve">https://reddit.com/r/resumes</t>
  </si>
  <si>
    <t xml:space="preserve">~1M</t>
  </si>
  <si>
    <t xml:space="preserve">reddit_resumes</t>
  </si>
  <si>
    <t xml:space="preserve">People actively fixing resumes = perfect ICP.</t>
  </si>
  <si>
    <t xml:space="preserve">r/EngineeringStudents</t>
  </si>
  <si>
    <t xml:space="preserve">Students</t>
  </si>
  <si>
    <t xml:space="preserve">https://reddit.com/r/EngineeringStudents</t>
  </si>
  <si>
    <t xml:space="preserve">~800k</t>
  </si>
  <si>
    <t xml:space="preserve">reddit_engstudents</t>
  </si>
  <si>
    <t xml:space="preserve">Placement-season students.</t>
  </si>
  <si>
    <t xml:space="preserve">Devfolio</t>
  </si>
  <si>
    <t xml:space="preserve">Hackathons</t>
  </si>
  <si>
    <t xml:space="preserve">Hackathons (India)</t>
  </si>
  <si>
    <t xml:space="preserve">https://devfolio.co/</t>
  </si>
  <si>
    <t xml:space="preserve">—</t>
  </si>
  <si>
    <t xml:space="preserve">Partner/host</t>
  </si>
  <si>
    <t xml:space="preserve">devfolio</t>
  </si>
  <si>
    <t xml:space="preserve">Sponsor/mention as a hackathon resume tool.</t>
  </si>
  <si>
    <t xml:space="preserve">Unstop</t>
  </si>
  <si>
    <t xml:space="preserve">Students (India)</t>
  </si>
  <si>
    <t xml:space="preserve">https://unstop.com/</t>
  </si>
  <si>
    <t xml:space="preserve">unstop</t>
  </si>
  <si>
    <t xml:space="preserve">Competitions+internships hub for Indian students.</t>
  </si>
  <si>
    <t xml:space="preserve">MLH (Major League Hacking)</t>
  </si>
  <si>
    <t xml:space="preserve">Global student devs</t>
  </si>
  <si>
    <t xml:space="preserve">https://mlh.com/</t>
  </si>
  <si>
    <t xml:space="preserve">Community</t>
  </si>
  <si>
    <t xml:space="preserve">mlh</t>
  </si>
  <si>
    <t xml:space="preserve">Global student hackathon community + Discord.</t>
  </si>
  <si>
    <t xml:space="preserve">Devpost</t>
  </si>
  <si>
    <t xml:space="preserve">Global</t>
  </si>
  <si>
    <t xml:space="preserve">https://devpost.com/</t>
  </si>
  <si>
    <t xml:space="preserve">devpost</t>
  </si>
  <si>
    <t xml:space="preserve">Global online hackathons open to India.</t>
  </si>
  <si>
    <t xml:space="preserve">HackerEarth</t>
  </si>
  <si>
    <t xml:space="preserve">India/global</t>
  </si>
  <si>
    <t xml:space="preserve">https://hackerearth.com/</t>
  </si>
  <si>
    <t xml:space="preserve">hackerearth</t>
  </si>
  <si>
    <t xml:space="preserve">Hiring challenges + hackathons.</t>
  </si>
  <si>
    <t xml:space="preserve">GDSC (campus clubs)</t>
  </si>
  <si>
    <t xml:space="preserve">On-campus</t>
  </si>
  <si>
    <t xml:space="preserve">Student devs</t>
  </si>
  <si>
    <t xml:space="preserve">https://developers.google.com/community/gdsc</t>
  </si>
  <si>
    <t xml:space="preserve">Partner</t>
  </si>
  <si>
    <t xml:space="preserve">gdsc</t>
  </si>
  <si>
    <t xml:space="preserve">Google Developer Student Clubs — pitch at your campus + others.</t>
  </si>
  <si>
    <t xml:space="preserve">Peerlist</t>
  </si>
  <si>
    <t xml:space="preserve">LinkedIn-alt</t>
  </si>
  <si>
    <t xml:space="preserve">Dev community</t>
  </si>
  <si>
    <t xml:space="preserve">https://peerlist.io/</t>
  </si>
  <si>
    <t xml:space="preserve">Growing</t>
  </si>
  <si>
    <t xml:space="preserve">peerlist</t>
  </si>
  <si>
    <t xml:space="preserve">Devs share projects; portfolio-friendly.</t>
  </si>
  <si>
    <t xml:space="preserve">dev.to</t>
  </si>
  <si>
    <t xml:space="preserve">Blog/community</t>
  </si>
  <si>
    <t xml:space="preserve">Devs</t>
  </si>
  <si>
    <t xml:space="preserve">https://dev.to/</t>
  </si>
  <si>
    <t xml:space="preserve">devto</t>
  </si>
  <si>
    <t xml:space="preserve">Write a 'how I built ResumeForge' post.</t>
  </si>
  <si>
    <t xml:space="preserve">Hashnode</t>
  </si>
  <si>
    <t xml:space="preserve">https://hashnode.com/</t>
  </si>
  <si>
    <t xml:space="preserve">hashnode</t>
  </si>
  <si>
    <t xml:space="preserve">Dev blogging; SEO + community.</t>
  </si>
  <si>
    <t xml:space="preserve">LinkedIn Groups (search)</t>
  </si>
  <si>
    <t xml:space="preserve">LinkedIn</t>
  </si>
  <si>
    <t xml:space="preserve">Web dev / students</t>
  </si>
  <si>
    <t xml:space="preserve">https://www.linkedin.com/search/results/groups/</t>
  </si>
  <si>
    <t xml:space="preserve">Varies</t>
  </si>
  <si>
    <t xml:space="preserve">linkedin_groups</t>
  </si>
  <si>
    <t xml:space="preserve">Search 'web development', 'CS students', 'placements'.</t>
  </si>
  <si>
    <t xml:space="preserve">Telegram: coding/internship</t>
  </si>
  <si>
    <t xml:space="preserve">Telegram</t>
  </si>
  <si>
    <t xml:space="preserve">Students/internships</t>
  </si>
  <si>
    <t xml:space="preserve">https://tgstat.com/</t>
  </si>
  <si>
    <t xml:space="preserve">telegram_intern</t>
  </si>
  <si>
    <t xml:space="preserve">Find via tgstat/telemetr; many Indian internship channels.</t>
  </si>
  <si>
    <t xml:space="preserve">Your own LinkedIn</t>
  </si>
  <si>
    <t xml:space="preserve">Owned channel</t>
  </si>
  <si>
    <t xml:space="preserve">https://www.linkedin.com/</t>
  </si>
  <si>
    <t xml:space="preserve">Owned</t>
  </si>
  <si>
    <t xml:space="preserve">linkedin_own</t>
  </si>
  <si>
    <t xml:space="preserve">Post 2-3x/week; comment on placement posts. SCHEDULE this.</t>
  </si>
  <si>
    <t xml:space="preserve">Your own Instagram/Reels</t>
  </si>
  <si>
    <t xml:space="preserve">Instagram</t>
  </si>
  <si>
    <t xml:space="preserve">https://instagram.com/</t>
  </si>
  <si>
    <t xml:space="preserve">ig_own</t>
  </si>
  <si>
    <t xml:space="preserve">Short build-in-public Reels. SCHEDULE this.</t>
  </si>
  <si>
    <t xml:space="preserve">Your own YouTube Shorts</t>
  </si>
  <si>
    <t xml:space="preserve">YouTube</t>
  </si>
  <si>
    <t xml:space="preserve">https://youtube.com/</t>
  </si>
  <si>
    <t xml:space="preserve">yt_own</t>
  </si>
  <si>
    <t xml:space="preserve">60s demos of ResumeForge. SCHEDULE this.</t>
  </si>
  <si>
    <t xml:space="preserve">Pipeline Dashboard</t>
  </si>
  <si>
    <t xml:space="preserve">Total communities tracked</t>
  </si>
  <si>
    <t xml:space="preserve">Backlog (not started)</t>
  </si>
  <si>
    <t xml:space="preserve">Joined</t>
  </si>
  <si>
    <t xml:space="preserve">Posted</t>
  </si>
  <si>
    <t xml:space="preserve">Converted (drove signups)</t>
  </si>
  <si>
    <t xml:space="preserve">Total signups from communities</t>
  </si>
  <si>
    <t xml:space="preserve">Post → Convert rate</t>
  </si>
  <si>
    <t xml:space="preserve">Tip: keep 'Signups' updated from your UTM analytics; kill 'Dead' channels, repeat 'Converted' ones.</t>
  </si>
  <si>
    <t xml:space="preserve">Find More — discovery directories + ready search queries</t>
  </si>
  <si>
    <t xml:space="preserve">Source / Directory</t>
  </si>
  <si>
    <t xml:space="preserve">Type</t>
  </si>
  <si>
    <t xml:space="preserve">URL</t>
  </si>
  <si>
    <t xml:space="preserve">How to use / query</t>
  </si>
  <si>
    <t xml:space="preserve">Disboard</t>
  </si>
  <si>
    <t xml:space="preserve">Discord directory</t>
  </si>
  <si>
    <t xml:space="preserve">https://disboard.org/</t>
  </si>
  <si>
    <t xml:space="preserve">Browse tags: web-development, javascript, computer-science, developer</t>
  </si>
  <si>
    <t xml:space="preserve">Server names are stable; grab a FRESH invite each time (they expire).</t>
  </si>
  <si>
    <t xml:space="preserve">Discadia</t>
  </si>
  <si>
    <t xml:space="preserve">https://discadia.com/</t>
  </si>
  <si>
    <t xml:space="preserve">Search 'programming', 'web dev', 'students'</t>
  </si>
  <si>
    <t xml:space="preserve">Alt to Disboard.</t>
  </si>
  <si>
    <t xml:space="preserve">top.gg / discordservers.com</t>
  </si>
  <si>
    <t xml:space="preserve">https://top.gg/servers</t>
  </si>
  <si>
    <t xml:space="preserve">Filter by 'Programming'/'Technology'</t>
  </si>
  <si>
    <t xml:space="preserve">Ranked lists.</t>
  </si>
  <si>
    <t xml:space="preserve">The Hive Index</t>
  </si>
  <si>
    <t xml:space="preserve">Community directory</t>
  </si>
  <si>
    <t xml:space="preserve">https://thehiveindex.com/topics/software-development/</t>
  </si>
  <si>
    <t xml:space="preserve">Filter platform = Discord/Slack</t>
  </si>
  <si>
    <t xml:space="preserve">Curated software-dev communities.</t>
  </si>
  <si>
    <t xml:space="preserve">tgstat</t>
  </si>
  <si>
    <t xml:space="preserve">Telegram directory</t>
  </si>
  <si>
    <t xml:space="preserve">Search 'internship', 'coding', 'web development', 'placement'</t>
  </si>
  <si>
    <t xml:space="preserve">Sort by members/region (India).</t>
  </si>
  <si>
    <t xml:space="preserve">telemetr.io</t>
  </si>
  <si>
    <t xml:space="preserve">https://telemetr.io/</t>
  </si>
  <si>
    <t xml:space="preserve">Same keywords as above</t>
  </si>
  <si>
    <t xml:space="preserve">Analytics on channel activity.</t>
  </si>
  <si>
    <t xml:space="preserve">Reddit search</t>
  </si>
  <si>
    <t xml:space="preserve">https://www.reddit.com/search/?q=&amp;type=sr</t>
  </si>
  <si>
    <t xml:space="preserve">Search subreddits: 'webdev', 'developers', 'internships', 'college'</t>
  </si>
  <si>
    <t xml:space="preserve">Check each sub's self-promo rule before posting.</t>
  </si>
  <si>
    <t xml:space="preserve">LinkedIn Groups</t>
  </si>
  <si>
    <t xml:space="preserve">Query: 'web development', 'CS students', 'campus placements'</t>
  </si>
  <si>
    <t xml:space="preserve">Request to join; post where allowed.</t>
  </si>
  <si>
    <t xml:space="preserve">Devfolio / Unstop / MLH / Devpost</t>
  </si>
  <si>
    <t xml:space="preserve">https://devfolio.co/ , https://unstop.com/ , https://mlh.com/ , https://devpost.com/</t>
  </si>
  <si>
    <t xml:space="preserve">Filter upcoming student hackathons</t>
  </si>
  <si>
    <t xml:space="preserve">Participants = perfect ICP (they have GitHub projects).</t>
  </si>
  <si>
    <t xml:space="preserve">GDSC / campus dev clubs</t>
  </si>
  <si>
    <t xml:space="preserve">Find nearby chapters; email leads</t>
  </si>
  <si>
    <t xml:space="preserve">Offer free bulk access to their members.</t>
  </si>
  <si>
    <t xml:space="preserve">Google dork</t>
  </si>
  <si>
    <t xml:space="preserve">Search</t>
  </si>
  <si>
    <t xml:space="preserve">https://google.com/</t>
  </si>
  <si>
    <t xml:space="preserve">"discord.gg" web development students ; "t.me" coding internship</t>
  </si>
  <si>
    <t xml:space="preserve">Finds invite links directly (verify before joining).</t>
  </si>
  <si>
    <t xml:space="preserve">Content Bank — write once, adapt per platform. Replace [brackets].</t>
  </si>
  <si>
    <t xml:space="preserve">Channel</t>
  </si>
  <si>
    <t xml:space="preserve">Post type</t>
  </si>
  <si>
    <t xml:space="preserve">Ready-to-adapt draft</t>
  </si>
  <si>
    <t xml:space="preserve">Rules / tip</t>
  </si>
  <si>
    <t xml:space="preserve">Feed post</t>
  </si>
  <si>
    <t xml:space="preserve">Most CS students apply with a resume full of claims they can't back up.
I built ResumeForge to fix that: connect your GitHub and it turns your real projects into a resume where every bullet is backed by evidence — plus interview questions drawn from your own work.
It's free for students. If you're job-hunting this season, try it and tell me what breaks: [link]
#webdev #opensource #internships #resume</t>
  </si>
  <si>
    <t xml:space="preserve">Post 2-3x/week. Reply to every comment fast.</t>
  </si>
  <si>
    <t xml:space="preserve">Caption + Reel</t>
  </si>
  <si>
    <t xml:space="preserve">POV: your resume finally proves what you actually built. 🛠️
ResumeForge turns your GitHub into a proof-backed resume + interview prep. Free for students.
Link in bio 👉 [link]
#coding #webdevelopment #csstudents #internship #buildinpublic</t>
  </si>
  <si>
    <t xml:space="preserve">Pair with the Reel script below.</t>
  </si>
  <si>
    <t xml:space="preserve">YouTube/Reels</t>
  </si>
  <si>
    <t xml:space="preserve">Short script (40s)</t>
  </si>
  <si>
    <t xml:space="preserve">[0-3s] 'Your resume says you built things. Can you prove it?'
[3-15s] Screen-record: paste GitHub → ResumeForge generates bullets, each tagged to a real repo.
[15-30s] Show the interview-prep questions pulled from those projects.
[30-40s] 'Proof-backed resume. Free for students.' → [link]</t>
  </si>
  <si>
    <t xml:space="preserve">Hook in first 3s; captions on.</t>
  </si>
  <si>
    <t xml:space="preserve">Discord/Telegram</t>
  </si>
  <si>
    <t xml:space="preserve">Value-first message</t>
  </si>
  <si>
    <t xml:space="preserve">Hey all — I'm a student building ResumeForge, a tool that turns your GitHub into a proof-backed resume (every bullet cites a real project) and generates interview questions from your own work.
Looking for 10 honest testers, not signups — happy to return feedback on YOUR resume too. Cool if I share the link here, mods? [link]</t>
  </si>
  <si>
    <t xml:space="preserve">Ask mods; post in #self-promo; help others first.</t>
  </si>
  <si>
    <t xml:space="preserve">Launch post</t>
  </si>
  <si>
    <t xml:space="preserve">I got tired of resumes full of unprovable claims, so I built ResumeForge — connect GitHub, it writes a resume where each bullet is backed by a real repo, and it quizzes you with interview questions from those projects. Free for students.
Roast it / tell me what's missing: [link]</t>
  </si>
  <si>
    <t xml:space="preserve">Use r/SideProject or weekly showcase threads only.</t>
  </si>
  <si>
    <t xml:space="preserve">Any</t>
  </si>
  <si>
    <t xml:space="preserve">Helpful comment/reply</t>
  </si>
  <si>
    <t xml:space="preserve">Congrats on the search! If it helps, I built a free tool that turns GitHub projects into proof-backed resume bullets + interview questions — might save you time: [link] (happy to help either way).</t>
  </si>
  <si>
    <t xml:space="preserve">For career/resume threads — value first, link light.</t>
  </si>
  <si>
    <t xml:space="preserve">LinkedIn/DM</t>
  </si>
  <si>
    <t xml:space="preserve">1:1 outreach</t>
  </si>
  <si>
    <t xml:space="preserve">Hi [name] — saw you're prepping for placements. I'm a student building a free tool that turns your GitHub into a proof-backed resume + interview prep. Would love 2 min of feedback — mind if I send the link?</t>
  </si>
  <si>
    <t xml:space="preserve">For seniors in placement season. Personalize [name].</t>
  </si>
  <si>
    <t xml:space="preserve">UTM Builder — track which community sends signups</t>
  </si>
  <si>
    <t xml:space="preserve">Base URL</t>
  </si>
  <si>
    <t xml:space="preserve">https://resumeforge-opal.vercel.app/</t>
  </si>
  <si>
    <t xml:space="preserve">utm_source (the group)</t>
  </si>
  <si>
    <t xml:space="preserve">utm_medium</t>
  </si>
  <si>
    <t xml:space="preserve">community</t>
  </si>
  <si>
    <t xml:space="preserve">utm_campaign</t>
  </si>
  <si>
    <t xml:space="preserve">launch</t>
  </si>
  <si>
    <t xml:space="preserve">Your tracking link →</t>
  </si>
  <si>
    <t xml:space="preserve">How to use</t>
  </si>
  <si>
    <t xml:space="preserve">1) Change the yellow utm_source to match the group (use the 'UTM source tag' column in Community Pipeline).
2) Copy the green link and post THAT instead of the plain URL.
3) In your backend /track + analytics, filter by utm_source to see which community converts.
4) Update 'Signups' in Community Pipeline; the Dashboard updates automatically.</t>
  </si>
</sst>
</file>

<file path=xl/styles.xml><?xml version="1.0" encoding="utf-8"?>
<styleSheet xmlns="http://schemas.openxmlformats.org/spreadsheetml/2006/main">
  <numFmts count="2">
    <numFmt numFmtId="164" formatCode="General"/>
    <numFmt numFmtId="165" formatCode="0.0%"/>
  </numFmts>
  <fonts count="19">
    <font>
      <sz val="11"/>
      <color theme="1"/>
      <name val="Calibri"/>
      <family val="2"/>
      <charset val="1"/>
    </font>
    <font>
      <sz val="10"/>
      <name val="Arial"/>
      <family val="0"/>
    </font>
    <font>
      <sz val="10"/>
      <name val="Arial"/>
      <family val="0"/>
    </font>
    <font>
      <sz val="10"/>
      <name val="Arial"/>
      <family val="0"/>
    </font>
    <font>
      <b val="true"/>
      <sz val="18"/>
      <color rgb="FF9A3B1C"/>
      <name val="Arial"/>
      <family val="0"/>
      <charset val="1"/>
    </font>
    <font>
      <i val="true"/>
      <sz val="11"/>
      <color rgb="FF6B5B4A"/>
      <name val="Arial"/>
      <family val="0"/>
      <charset val="1"/>
    </font>
    <font>
      <b val="true"/>
      <sz val="12"/>
      <color rgb="FF1D7A4D"/>
      <name val="Arial"/>
      <family val="0"/>
      <charset val="1"/>
    </font>
    <font>
      <sz val="10"/>
      <name val="Arial"/>
      <family val="0"/>
      <charset val="1"/>
    </font>
    <font>
      <b val="true"/>
      <sz val="12"/>
      <color rgb="FF9A3B1C"/>
      <name val="Arial"/>
      <family val="0"/>
      <charset val="1"/>
    </font>
    <font>
      <b val="true"/>
      <sz val="10"/>
      <color rgb="FF6B4A2B"/>
      <name val="Arial"/>
      <family val="0"/>
      <charset val="1"/>
    </font>
    <font>
      <b val="true"/>
      <sz val="13"/>
      <color rgb="FF9A3B1C"/>
      <name val="Arial"/>
      <family val="0"/>
      <charset val="1"/>
    </font>
    <font>
      <b val="true"/>
      <sz val="11"/>
      <color rgb="FFFFFFFF"/>
      <name val="Arial"/>
      <family val="0"/>
      <charset val="1"/>
    </font>
    <font>
      <b val="true"/>
      <sz val="16"/>
      <color rgb="FF9A3B1C"/>
      <name val="Arial"/>
      <family val="0"/>
      <charset val="1"/>
    </font>
    <font>
      <b val="true"/>
      <sz val="11"/>
      <name val="Arial"/>
      <family val="0"/>
      <charset val="1"/>
    </font>
    <font>
      <i val="true"/>
      <sz val="9"/>
      <color rgb="FF6B5B4A"/>
      <name val="Arial"/>
      <family val="0"/>
      <charset val="1"/>
    </font>
    <font>
      <b val="true"/>
      <sz val="14"/>
      <color rgb="FF9A3B1C"/>
      <name val="Arial"/>
      <family val="0"/>
      <charset val="1"/>
    </font>
    <font>
      <sz val="11"/>
      <color rgb="FF0000FF"/>
      <name val="Arial"/>
      <family val="0"/>
      <charset val="1"/>
    </font>
    <font>
      <b val="true"/>
      <sz val="11"/>
      <color rgb="FF1D7A4D"/>
      <name val="Arial"/>
      <family val="0"/>
      <charset val="1"/>
    </font>
    <font>
      <b val="true"/>
      <sz val="11"/>
      <color rgb="FF9A3B1C"/>
      <name val="Arial"/>
      <family val="0"/>
      <charset val="1"/>
    </font>
  </fonts>
  <fills count="6">
    <fill>
      <patternFill patternType="none"/>
    </fill>
    <fill>
      <patternFill patternType="gray125"/>
    </fill>
    <fill>
      <patternFill patternType="solid">
        <fgColor rgb="FFEAF5EE"/>
        <bgColor rgb="FFF7F5EF"/>
      </patternFill>
    </fill>
    <fill>
      <patternFill patternType="solid">
        <fgColor rgb="FF9A3B1C"/>
        <bgColor rgb="FF993366"/>
      </patternFill>
    </fill>
    <fill>
      <patternFill patternType="solid">
        <fgColor rgb="FFF7F5EF"/>
        <bgColor rgb="FFEAF5EE"/>
      </patternFill>
    </fill>
    <fill>
      <patternFill patternType="solid">
        <fgColor rgb="FFFFF7CC"/>
        <bgColor rgb="FFF7F5EF"/>
      </patternFill>
    </fill>
  </fills>
  <borders count="2">
    <border diagonalUp="false" diagonalDown="false">
      <left/>
      <right/>
      <top/>
      <bottom/>
      <diagonal/>
    </border>
    <border diagonalUp="false" diagonalDown="false">
      <left style="thin">
        <color rgb="FFD8CBB8"/>
      </left>
      <right style="thin">
        <color rgb="FFD8CBB8"/>
      </right>
      <top style="thin">
        <color rgb="FFD8CBB8"/>
      </top>
      <bottom style="thin">
        <color rgb="FFD8CBB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6" fillId="5"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D7A4D"/>
      <rgbColor rgb="FFD8CBB8"/>
      <rgbColor rgb="FF808080"/>
      <rgbColor rgb="FF9999FF"/>
      <rgbColor rgb="FF993366"/>
      <rgbColor rgb="FFFFF7CC"/>
      <rgbColor rgb="FFEAF5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7F5EF"/>
      <rgbColor rgb="FFCCFFCC"/>
      <rgbColor rgb="FFFFFF99"/>
      <rgbColor rgb="FF99CCFF"/>
      <rgbColor rgb="FFFF99CC"/>
      <rgbColor rgb="FFCC99FF"/>
      <rgbColor rgb="FFFFCC99"/>
      <rgbColor rgb="FF3366FF"/>
      <rgbColor rgb="FF33CCCC"/>
      <rgbColor rgb="FF99CC00"/>
      <rgbColor rgb="FFFFCC00"/>
      <rgbColor rgb="FFFF9900"/>
      <rgbColor rgb="FFFF6600"/>
      <rgbColor rgb="FF6B5B4A"/>
      <rgbColor rgb="FF969696"/>
      <rgbColor rgb="FF003366"/>
      <rgbColor rgb="FF339966"/>
      <rgbColor rgb="FF003300"/>
      <rgbColor rgb="FF333300"/>
      <rgbColor rgb="FF9A3B1C"/>
      <rgbColor rgb="FF993366"/>
      <rgbColor rgb="FF333399"/>
      <rgbColor rgb="FF6B4A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5" min="2" style="0" width="26"/>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true" outlineLevel="0" collapsed="false">
      <c r="B6" s="4" t="s">
        <v>3</v>
      </c>
      <c r="C6" s="4"/>
      <c r="D6" s="4"/>
      <c r="E6" s="4"/>
    </row>
    <row r="7" customFormat="false" ht="15" hidden="false" customHeight="false" outlineLevel="0" collapsed="false">
      <c r="B7" s="4"/>
      <c r="C7" s="4"/>
      <c r="D7" s="4"/>
      <c r="E7" s="4"/>
    </row>
    <row r="8" customFormat="false" ht="15" hidden="false" customHeight="false" outlineLevel="0" collapsed="false">
      <c r="B8" s="4"/>
      <c r="C8" s="4"/>
      <c r="D8" s="4"/>
      <c r="E8" s="4"/>
    </row>
    <row r="10" customFormat="false" ht="15" hidden="false" customHeight="false" outlineLevel="0" collapsed="false">
      <c r="B10" s="5" t="s">
        <v>4</v>
      </c>
    </row>
    <row r="11" customFormat="false" ht="42" hidden="false" customHeight="true" outlineLevel="0" collapsed="false">
      <c r="B11" s="6" t="s">
        <v>5</v>
      </c>
      <c r="C11" s="7" t="s">
        <v>6</v>
      </c>
      <c r="D11" s="7"/>
      <c r="E11" s="7"/>
    </row>
    <row r="12" customFormat="false" ht="42" hidden="false" customHeight="true" outlineLevel="0" collapsed="false">
      <c r="B12" s="6" t="s">
        <v>7</v>
      </c>
      <c r="C12" s="7" t="s">
        <v>8</v>
      </c>
      <c r="D12" s="7"/>
      <c r="E12" s="7"/>
    </row>
    <row r="13" customFormat="false" ht="42" hidden="false" customHeight="true" outlineLevel="0" collapsed="false">
      <c r="B13" s="6" t="s">
        <v>9</v>
      </c>
      <c r="C13" s="7" t="s">
        <v>10</v>
      </c>
      <c r="D13" s="7"/>
      <c r="E13" s="7"/>
    </row>
    <row r="14" customFormat="false" ht="42" hidden="false" customHeight="true" outlineLevel="0" collapsed="false">
      <c r="B14" s="6" t="s">
        <v>11</v>
      </c>
      <c r="C14" s="7" t="s">
        <v>12</v>
      </c>
      <c r="D14" s="7"/>
      <c r="E14" s="7"/>
    </row>
    <row r="16" customFormat="false" ht="15" hidden="false" customHeight="false" outlineLevel="0" collapsed="false">
      <c r="B16" s="5" t="s">
        <v>13</v>
      </c>
    </row>
    <row r="17" customFormat="false" ht="15" hidden="false" customHeight="true" outlineLevel="0" collapsed="false">
      <c r="B17" s="6" t="s">
        <v>14</v>
      </c>
      <c r="C17" s="8" t="s">
        <v>15</v>
      </c>
      <c r="D17" s="8"/>
      <c r="E17" s="8"/>
    </row>
    <row r="18" customFormat="false" ht="15" hidden="false" customHeight="true" outlineLevel="0" collapsed="false">
      <c r="B18" s="6" t="s">
        <v>16</v>
      </c>
      <c r="C18" s="8" t="s">
        <v>17</v>
      </c>
      <c r="D18" s="8"/>
      <c r="E18" s="8"/>
    </row>
    <row r="19" customFormat="false" ht="15" hidden="false" customHeight="true" outlineLevel="0" collapsed="false">
      <c r="B19" s="6" t="s">
        <v>18</v>
      </c>
      <c r="C19" s="8" t="s">
        <v>19</v>
      </c>
      <c r="D19" s="8"/>
      <c r="E19" s="8"/>
    </row>
    <row r="20" customFormat="false" ht="15" hidden="false" customHeight="true" outlineLevel="0" collapsed="false">
      <c r="B20" s="6" t="s">
        <v>20</v>
      </c>
      <c r="C20" s="8" t="s">
        <v>21</v>
      </c>
      <c r="D20" s="8"/>
      <c r="E20" s="8"/>
    </row>
    <row r="21" customFormat="false" ht="15" hidden="false" customHeight="true" outlineLevel="0" collapsed="false">
      <c r="B21" s="6" t="s">
        <v>22</v>
      </c>
      <c r="C21" s="8" t="s">
        <v>23</v>
      </c>
      <c r="D21" s="8"/>
      <c r="E21" s="8"/>
    </row>
  </sheetData>
  <mergeCells count="10">
    <mergeCell ref="B6:E8"/>
    <mergeCell ref="C11:E11"/>
    <mergeCell ref="C12:E12"/>
    <mergeCell ref="C13:E13"/>
    <mergeCell ref="C14:E14"/>
    <mergeCell ref="C17:E17"/>
    <mergeCell ref="C18:E18"/>
    <mergeCell ref="C19:E19"/>
    <mergeCell ref="C20:E20"/>
    <mergeCell ref="C21: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18"/>
    <col collapsed="false" customWidth="true" hidden="false" outlineLevel="0" max="4" min="4" style="0" width="40"/>
    <col collapsed="false" customWidth="true" hidden="false" outlineLevel="0" max="5" min="5" style="0" width="10"/>
    <col collapsed="false" customWidth="true" hidden="false" outlineLevel="0" max="6" min="6" style="0" width="18"/>
    <col collapsed="false" customWidth="true" hidden="false" outlineLevel="0" max="7" min="7" style="0" width="14"/>
    <col collapsed="false" customWidth="true" hidden="false" outlineLevel="0" max="8" min="8" style="0" width="18"/>
    <col collapsed="false" customWidth="true" hidden="false" outlineLevel="0" max="9" min="9" style="0" width="12"/>
    <col collapsed="false" customWidth="true" hidden="false" outlineLevel="0" max="10" min="10" style="0" width="9"/>
    <col collapsed="false" customWidth="true" hidden="false" outlineLevel="0" max="11" min="11" style="0" width="34"/>
  </cols>
  <sheetData>
    <row r="1" customFormat="false" ht="16.15" hidden="false" customHeight="false" outlineLevel="0" collapsed="false">
      <c r="A1" s="9" t="s">
        <v>24</v>
      </c>
    </row>
    <row r="3" customFormat="false" ht="30" hidden="false" customHeight="true" outlineLevel="0" collapsed="false">
      <c r="A3" s="10" t="s">
        <v>25</v>
      </c>
      <c r="B3" s="10" t="s">
        <v>26</v>
      </c>
      <c r="C3" s="10" t="s">
        <v>27</v>
      </c>
      <c r="D3" s="10" t="s">
        <v>28</v>
      </c>
      <c r="E3" s="10" t="s">
        <v>29</v>
      </c>
      <c r="F3" s="10" t="s">
        <v>30</v>
      </c>
      <c r="G3" s="10" t="s">
        <v>31</v>
      </c>
      <c r="H3" s="10" t="s">
        <v>32</v>
      </c>
      <c r="I3" s="10" t="s">
        <v>33</v>
      </c>
      <c r="J3" s="10" t="s">
        <v>34</v>
      </c>
      <c r="K3" s="10" t="s">
        <v>35</v>
      </c>
    </row>
    <row r="4" customFormat="false" ht="23.85" hidden="false" customHeight="false" outlineLevel="0" collapsed="false">
      <c r="A4" s="11" t="s">
        <v>36</v>
      </c>
      <c r="B4" s="11" t="s">
        <v>37</v>
      </c>
      <c r="C4" s="11" t="s">
        <v>38</v>
      </c>
      <c r="D4" s="11" t="s">
        <v>39</v>
      </c>
      <c r="E4" s="11" t="s">
        <v>40</v>
      </c>
      <c r="F4" s="11" t="s">
        <v>41</v>
      </c>
      <c r="G4" s="11" t="s">
        <v>42</v>
      </c>
      <c r="H4" s="11" t="s">
        <v>43</v>
      </c>
      <c r="I4" s="11"/>
      <c r="J4" s="11" t="n">
        <v>0</v>
      </c>
      <c r="K4" s="11" t="s">
        <v>44</v>
      </c>
    </row>
    <row r="5" customFormat="false" ht="23.85" hidden="false" customHeight="false" outlineLevel="0" collapsed="false">
      <c r="A5" s="12" t="s">
        <v>45</v>
      </c>
      <c r="B5" s="12" t="s">
        <v>37</v>
      </c>
      <c r="C5" s="12" t="s">
        <v>38</v>
      </c>
      <c r="D5" s="12" t="s">
        <v>39</v>
      </c>
      <c r="E5" s="12" t="s">
        <v>46</v>
      </c>
      <c r="F5" s="12" t="s">
        <v>47</v>
      </c>
      <c r="G5" s="12" t="s">
        <v>42</v>
      </c>
      <c r="H5" s="12" t="s">
        <v>48</v>
      </c>
      <c r="I5" s="12"/>
      <c r="J5" s="12" t="n">
        <v>0</v>
      </c>
      <c r="K5" s="12" t="s">
        <v>49</v>
      </c>
    </row>
    <row r="6" customFormat="false" ht="23.85" hidden="false" customHeight="false" outlineLevel="0" collapsed="false">
      <c r="A6" s="11" t="s">
        <v>50</v>
      </c>
      <c r="B6" s="11" t="s">
        <v>37</v>
      </c>
      <c r="C6" s="11" t="s">
        <v>51</v>
      </c>
      <c r="D6" s="11" t="s">
        <v>52</v>
      </c>
      <c r="E6" s="11" t="s">
        <v>53</v>
      </c>
      <c r="F6" s="11" t="s">
        <v>54</v>
      </c>
      <c r="G6" s="11" t="s">
        <v>42</v>
      </c>
      <c r="H6" s="11" t="s">
        <v>55</v>
      </c>
      <c r="I6" s="11"/>
      <c r="J6" s="11" t="n">
        <v>0</v>
      </c>
      <c r="K6" s="11" t="s">
        <v>56</v>
      </c>
    </row>
    <row r="7" customFormat="false" ht="23.85" hidden="false" customHeight="false" outlineLevel="0" collapsed="false">
      <c r="A7" s="12" t="s">
        <v>57</v>
      </c>
      <c r="B7" s="12" t="s">
        <v>37</v>
      </c>
      <c r="C7" s="12" t="s">
        <v>58</v>
      </c>
      <c r="D7" s="12" t="s">
        <v>59</v>
      </c>
      <c r="E7" s="12" t="s">
        <v>60</v>
      </c>
      <c r="F7" s="12" t="s">
        <v>54</v>
      </c>
      <c r="G7" s="12" t="s">
        <v>42</v>
      </c>
      <c r="H7" s="12" t="s">
        <v>61</v>
      </c>
      <c r="I7" s="12"/>
      <c r="J7" s="12" t="n">
        <v>0</v>
      </c>
      <c r="K7" s="12" t="s">
        <v>62</v>
      </c>
    </row>
    <row r="8" customFormat="false" ht="15" hidden="false" customHeight="false" outlineLevel="0" collapsed="false">
      <c r="A8" s="11" t="s">
        <v>63</v>
      </c>
      <c r="B8" s="11" t="s">
        <v>37</v>
      </c>
      <c r="C8" s="11" t="s">
        <v>38</v>
      </c>
      <c r="D8" s="11" t="s">
        <v>39</v>
      </c>
      <c r="E8" s="11" t="s">
        <v>53</v>
      </c>
      <c r="F8" s="11" t="s">
        <v>54</v>
      </c>
      <c r="G8" s="11" t="s">
        <v>42</v>
      </c>
      <c r="H8" s="11" t="s">
        <v>64</v>
      </c>
      <c r="I8" s="11"/>
      <c r="J8" s="11" t="n">
        <v>0</v>
      </c>
      <c r="K8" s="11" t="s">
        <v>65</v>
      </c>
    </row>
    <row r="9" customFormat="false" ht="15" hidden="false" customHeight="false" outlineLevel="0" collapsed="false">
      <c r="A9" s="12" t="s">
        <v>66</v>
      </c>
      <c r="B9" s="12" t="s">
        <v>37</v>
      </c>
      <c r="C9" s="12" t="s">
        <v>67</v>
      </c>
      <c r="D9" s="12" t="s">
        <v>68</v>
      </c>
      <c r="E9" s="12" t="s">
        <v>69</v>
      </c>
      <c r="F9" s="12" t="s">
        <v>70</v>
      </c>
      <c r="G9" s="12" t="s">
        <v>42</v>
      </c>
      <c r="H9" s="12" t="s">
        <v>71</v>
      </c>
      <c r="I9" s="12"/>
      <c r="J9" s="12" t="n">
        <v>0</v>
      </c>
      <c r="K9" s="12" t="s">
        <v>72</v>
      </c>
    </row>
    <row r="10" customFormat="false" ht="23.85" hidden="false" customHeight="false" outlineLevel="0" collapsed="false">
      <c r="A10" s="11" t="s">
        <v>73</v>
      </c>
      <c r="B10" s="11" t="s">
        <v>37</v>
      </c>
      <c r="C10" s="11" t="s">
        <v>74</v>
      </c>
      <c r="D10" s="11" t="s">
        <v>75</v>
      </c>
      <c r="E10" s="11" t="s">
        <v>69</v>
      </c>
      <c r="F10" s="11" t="s">
        <v>76</v>
      </c>
      <c r="G10" s="11" t="s">
        <v>42</v>
      </c>
      <c r="H10" s="11" t="s">
        <v>77</v>
      </c>
      <c r="I10" s="11"/>
      <c r="J10" s="11" t="n">
        <v>0</v>
      </c>
      <c r="K10" s="11" t="s">
        <v>78</v>
      </c>
    </row>
    <row r="11" customFormat="false" ht="23.85" hidden="false" customHeight="false" outlineLevel="0" collapsed="false">
      <c r="A11" s="12" t="s">
        <v>79</v>
      </c>
      <c r="B11" s="12" t="s">
        <v>80</v>
      </c>
      <c r="C11" s="12" t="s">
        <v>51</v>
      </c>
      <c r="D11" s="12" t="s">
        <v>81</v>
      </c>
      <c r="E11" s="12" t="s">
        <v>82</v>
      </c>
      <c r="F11" s="12" t="s">
        <v>83</v>
      </c>
      <c r="G11" s="12" t="s">
        <v>42</v>
      </c>
      <c r="H11" s="12" t="s">
        <v>84</v>
      </c>
      <c r="I11" s="12"/>
      <c r="J11" s="12" t="n">
        <v>0</v>
      </c>
      <c r="K11" s="12" t="s">
        <v>85</v>
      </c>
    </row>
    <row r="12" customFormat="false" ht="23.85" hidden="false" customHeight="false" outlineLevel="0" collapsed="false">
      <c r="A12" s="11" t="s">
        <v>86</v>
      </c>
      <c r="B12" s="11" t="s">
        <v>80</v>
      </c>
      <c r="C12" s="11" t="s">
        <v>87</v>
      </c>
      <c r="D12" s="11" t="s">
        <v>88</v>
      </c>
      <c r="E12" s="11" t="s">
        <v>89</v>
      </c>
      <c r="F12" s="11" t="s">
        <v>90</v>
      </c>
      <c r="G12" s="11" t="s">
        <v>42</v>
      </c>
      <c r="H12" s="11" t="s">
        <v>91</v>
      </c>
      <c r="I12" s="11"/>
      <c r="J12" s="11" t="n">
        <v>0</v>
      </c>
      <c r="K12" s="11" t="s">
        <v>92</v>
      </c>
    </row>
    <row r="13" customFormat="false" ht="23.85" hidden="false" customHeight="false" outlineLevel="0" collapsed="false">
      <c r="A13" s="12" t="s">
        <v>93</v>
      </c>
      <c r="B13" s="12" t="s">
        <v>80</v>
      </c>
      <c r="C13" s="12" t="s">
        <v>94</v>
      </c>
      <c r="D13" s="12" t="s">
        <v>95</v>
      </c>
      <c r="E13" s="12" t="s">
        <v>96</v>
      </c>
      <c r="F13" s="12" t="s">
        <v>97</v>
      </c>
      <c r="G13" s="12" t="s">
        <v>42</v>
      </c>
      <c r="H13" s="12" t="s">
        <v>98</v>
      </c>
      <c r="I13" s="12"/>
      <c r="J13" s="12" t="n">
        <v>0</v>
      </c>
      <c r="K13" s="12" t="s">
        <v>99</v>
      </c>
    </row>
    <row r="14" customFormat="false" ht="23.85" hidden="false" customHeight="false" outlineLevel="0" collapsed="false">
      <c r="A14" s="11" t="s">
        <v>100</v>
      </c>
      <c r="B14" s="11" t="s">
        <v>80</v>
      </c>
      <c r="C14" s="11" t="s">
        <v>101</v>
      </c>
      <c r="D14" s="11" t="s">
        <v>102</v>
      </c>
      <c r="E14" s="11" t="s">
        <v>103</v>
      </c>
      <c r="F14" s="11" t="s">
        <v>104</v>
      </c>
      <c r="G14" s="11" t="s">
        <v>42</v>
      </c>
      <c r="H14" s="11" t="s">
        <v>105</v>
      </c>
      <c r="I14" s="11"/>
      <c r="J14" s="11" t="n">
        <v>0</v>
      </c>
      <c r="K14" s="11" t="s">
        <v>106</v>
      </c>
    </row>
    <row r="15" customFormat="false" ht="23.85" hidden="false" customHeight="false" outlineLevel="0" collapsed="false">
      <c r="A15" s="12" t="s">
        <v>107</v>
      </c>
      <c r="B15" s="12" t="s">
        <v>80</v>
      </c>
      <c r="C15" s="12" t="s">
        <v>108</v>
      </c>
      <c r="D15" s="12" t="s">
        <v>109</v>
      </c>
      <c r="E15" s="12" t="s">
        <v>110</v>
      </c>
      <c r="F15" s="12" t="s">
        <v>111</v>
      </c>
      <c r="G15" s="12" t="s">
        <v>42</v>
      </c>
      <c r="H15" s="12" t="s">
        <v>112</v>
      </c>
      <c r="I15" s="12"/>
      <c r="J15" s="12" t="n">
        <v>0</v>
      </c>
      <c r="K15" s="12" t="s">
        <v>113</v>
      </c>
    </row>
    <row r="16" customFormat="false" ht="23.85" hidden="false" customHeight="false" outlineLevel="0" collapsed="false">
      <c r="A16" s="11" t="s">
        <v>114</v>
      </c>
      <c r="B16" s="11" t="s">
        <v>80</v>
      </c>
      <c r="C16" s="11" t="s">
        <v>115</v>
      </c>
      <c r="D16" s="11" t="s">
        <v>116</v>
      </c>
      <c r="E16" s="11" t="s">
        <v>117</v>
      </c>
      <c r="F16" s="11" t="s">
        <v>97</v>
      </c>
      <c r="G16" s="11" t="s">
        <v>42</v>
      </c>
      <c r="H16" s="11" t="s">
        <v>118</v>
      </c>
      <c r="I16" s="11"/>
      <c r="J16" s="11" t="n">
        <v>0</v>
      </c>
      <c r="K16" s="11" t="s">
        <v>119</v>
      </c>
    </row>
    <row r="17" customFormat="false" ht="15" hidden="false" customHeight="false" outlineLevel="0" collapsed="false">
      <c r="A17" s="12" t="s">
        <v>120</v>
      </c>
      <c r="B17" s="12" t="s">
        <v>80</v>
      </c>
      <c r="C17" s="12" t="s">
        <v>121</v>
      </c>
      <c r="D17" s="12" t="s">
        <v>122</v>
      </c>
      <c r="E17" s="12" t="s">
        <v>123</v>
      </c>
      <c r="F17" s="12" t="s">
        <v>97</v>
      </c>
      <c r="G17" s="12" t="s">
        <v>42</v>
      </c>
      <c r="H17" s="12" t="s">
        <v>124</v>
      </c>
      <c r="I17" s="12"/>
      <c r="J17" s="12" t="n">
        <v>0</v>
      </c>
      <c r="K17" s="12" t="s">
        <v>125</v>
      </c>
    </row>
    <row r="18" customFormat="false" ht="23.85" hidden="false" customHeight="false" outlineLevel="0" collapsed="false">
      <c r="A18" s="11" t="s">
        <v>126</v>
      </c>
      <c r="B18" s="11" t="s">
        <v>127</v>
      </c>
      <c r="C18" s="11" t="s">
        <v>128</v>
      </c>
      <c r="D18" s="11" t="s">
        <v>129</v>
      </c>
      <c r="E18" s="11" t="s">
        <v>130</v>
      </c>
      <c r="F18" s="11" t="s">
        <v>131</v>
      </c>
      <c r="G18" s="11" t="s">
        <v>42</v>
      </c>
      <c r="H18" s="11" t="s">
        <v>132</v>
      </c>
      <c r="I18" s="11"/>
      <c r="J18" s="11" t="n">
        <v>0</v>
      </c>
      <c r="K18" s="11" t="s">
        <v>133</v>
      </c>
    </row>
    <row r="19" customFormat="false" ht="23.85" hidden="false" customHeight="false" outlineLevel="0" collapsed="false">
      <c r="A19" s="12" t="s">
        <v>134</v>
      </c>
      <c r="B19" s="12" t="s">
        <v>127</v>
      </c>
      <c r="C19" s="12" t="s">
        <v>135</v>
      </c>
      <c r="D19" s="12" t="s">
        <v>136</v>
      </c>
      <c r="E19" s="12" t="s">
        <v>130</v>
      </c>
      <c r="F19" s="12" t="s">
        <v>131</v>
      </c>
      <c r="G19" s="12" t="s">
        <v>42</v>
      </c>
      <c r="H19" s="12" t="s">
        <v>137</v>
      </c>
      <c r="I19" s="12"/>
      <c r="J19" s="12" t="n">
        <v>0</v>
      </c>
      <c r="K19" s="12" t="s">
        <v>138</v>
      </c>
    </row>
    <row r="20" customFormat="false" ht="23.85" hidden="false" customHeight="false" outlineLevel="0" collapsed="false">
      <c r="A20" s="11" t="s">
        <v>139</v>
      </c>
      <c r="B20" s="11" t="s">
        <v>127</v>
      </c>
      <c r="C20" s="11" t="s">
        <v>140</v>
      </c>
      <c r="D20" s="11" t="s">
        <v>141</v>
      </c>
      <c r="E20" s="11" t="s">
        <v>130</v>
      </c>
      <c r="F20" s="11" t="s">
        <v>142</v>
      </c>
      <c r="G20" s="11" t="s">
        <v>42</v>
      </c>
      <c r="H20" s="11" t="s">
        <v>143</v>
      </c>
      <c r="I20" s="11"/>
      <c r="J20" s="11" t="n">
        <v>0</v>
      </c>
      <c r="K20" s="11" t="s">
        <v>144</v>
      </c>
    </row>
    <row r="21" customFormat="false" ht="15" hidden="false" customHeight="false" outlineLevel="0" collapsed="false">
      <c r="A21" s="12" t="s">
        <v>145</v>
      </c>
      <c r="B21" s="12" t="s">
        <v>127</v>
      </c>
      <c r="C21" s="12" t="s">
        <v>146</v>
      </c>
      <c r="D21" s="12" t="s">
        <v>147</v>
      </c>
      <c r="E21" s="12" t="s">
        <v>130</v>
      </c>
      <c r="F21" s="12" t="s">
        <v>142</v>
      </c>
      <c r="G21" s="12" t="s">
        <v>42</v>
      </c>
      <c r="H21" s="12" t="s">
        <v>148</v>
      </c>
      <c r="I21" s="12"/>
      <c r="J21" s="12" t="n">
        <v>0</v>
      </c>
      <c r="K21" s="12" t="s">
        <v>149</v>
      </c>
    </row>
    <row r="22" customFormat="false" ht="15" hidden="false" customHeight="false" outlineLevel="0" collapsed="false">
      <c r="A22" s="11" t="s">
        <v>150</v>
      </c>
      <c r="B22" s="11" t="s">
        <v>127</v>
      </c>
      <c r="C22" s="11" t="s">
        <v>151</v>
      </c>
      <c r="D22" s="11" t="s">
        <v>152</v>
      </c>
      <c r="E22" s="11" t="s">
        <v>130</v>
      </c>
      <c r="F22" s="11" t="s">
        <v>142</v>
      </c>
      <c r="G22" s="11" t="s">
        <v>42</v>
      </c>
      <c r="H22" s="11" t="s">
        <v>153</v>
      </c>
      <c r="I22" s="11"/>
      <c r="J22" s="11" t="n">
        <v>0</v>
      </c>
      <c r="K22" s="11" t="s">
        <v>154</v>
      </c>
    </row>
    <row r="23" customFormat="false" ht="23.85" hidden="false" customHeight="false" outlineLevel="0" collapsed="false">
      <c r="A23" s="12" t="s">
        <v>155</v>
      </c>
      <c r="B23" s="12" t="s">
        <v>156</v>
      </c>
      <c r="C23" s="12" t="s">
        <v>157</v>
      </c>
      <c r="D23" s="12" t="s">
        <v>158</v>
      </c>
      <c r="E23" s="12" t="s">
        <v>130</v>
      </c>
      <c r="F23" s="12" t="s">
        <v>159</v>
      </c>
      <c r="G23" s="12" t="s">
        <v>42</v>
      </c>
      <c r="H23" s="12" t="s">
        <v>160</v>
      </c>
      <c r="I23" s="12"/>
      <c r="J23" s="12" t="n">
        <v>0</v>
      </c>
      <c r="K23" s="12" t="s">
        <v>161</v>
      </c>
    </row>
    <row r="24" customFormat="false" ht="15" hidden="false" customHeight="false" outlineLevel="0" collapsed="false">
      <c r="A24" s="11" t="s">
        <v>162</v>
      </c>
      <c r="B24" s="11" t="s">
        <v>163</v>
      </c>
      <c r="C24" s="11" t="s">
        <v>164</v>
      </c>
      <c r="D24" s="11" t="s">
        <v>165</v>
      </c>
      <c r="E24" s="11" t="s">
        <v>166</v>
      </c>
      <c r="F24" s="11" t="s">
        <v>90</v>
      </c>
      <c r="G24" s="11" t="s">
        <v>42</v>
      </c>
      <c r="H24" s="11" t="s">
        <v>167</v>
      </c>
      <c r="I24" s="11"/>
      <c r="J24" s="11" t="n">
        <v>0</v>
      </c>
      <c r="K24" s="11" t="s">
        <v>168</v>
      </c>
    </row>
    <row r="25" customFormat="false" ht="23.85" hidden="false" customHeight="false" outlineLevel="0" collapsed="false">
      <c r="A25" s="12" t="s">
        <v>169</v>
      </c>
      <c r="B25" s="12" t="s">
        <v>170</v>
      </c>
      <c r="C25" s="12" t="s">
        <v>171</v>
      </c>
      <c r="D25" s="12" t="s">
        <v>172</v>
      </c>
      <c r="E25" s="12" t="s">
        <v>53</v>
      </c>
      <c r="F25" s="12" t="s">
        <v>90</v>
      </c>
      <c r="G25" s="12" t="s">
        <v>42</v>
      </c>
      <c r="H25" s="12" t="s">
        <v>173</v>
      </c>
      <c r="I25" s="12"/>
      <c r="J25" s="12" t="n">
        <v>0</v>
      </c>
      <c r="K25" s="12" t="s">
        <v>174</v>
      </c>
    </row>
    <row r="26" customFormat="false" ht="23.85" hidden="false" customHeight="false" outlineLevel="0" collapsed="false">
      <c r="A26" s="11" t="s">
        <v>175</v>
      </c>
      <c r="B26" s="11" t="s">
        <v>170</v>
      </c>
      <c r="C26" s="11" t="s">
        <v>171</v>
      </c>
      <c r="D26" s="11" t="s">
        <v>176</v>
      </c>
      <c r="E26" s="11" t="s">
        <v>53</v>
      </c>
      <c r="F26" s="11" t="s">
        <v>90</v>
      </c>
      <c r="G26" s="11" t="s">
        <v>42</v>
      </c>
      <c r="H26" s="11" t="s">
        <v>177</v>
      </c>
      <c r="I26" s="11"/>
      <c r="J26" s="11" t="n">
        <v>0</v>
      </c>
      <c r="K26" s="11" t="s">
        <v>178</v>
      </c>
    </row>
    <row r="27" customFormat="false" ht="23.85" hidden="false" customHeight="false" outlineLevel="0" collapsed="false">
      <c r="A27" s="12" t="s">
        <v>179</v>
      </c>
      <c r="B27" s="12" t="s">
        <v>180</v>
      </c>
      <c r="C27" s="12" t="s">
        <v>181</v>
      </c>
      <c r="D27" s="12" t="s">
        <v>182</v>
      </c>
      <c r="E27" s="12" t="s">
        <v>183</v>
      </c>
      <c r="F27" s="12" t="s">
        <v>183</v>
      </c>
      <c r="G27" s="12" t="s">
        <v>42</v>
      </c>
      <c r="H27" s="12" t="s">
        <v>184</v>
      </c>
      <c r="I27" s="12"/>
      <c r="J27" s="12" t="n">
        <v>0</v>
      </c>
      <c r="K27" s="12" t="s">
        <v>185</v>
      </c>
    </row>
    <row r="28" customFormat="false" ht="23.85" hidden="false" customHeight="false" outlineLevel="0" collapsed="false">
      <c r="A28" s="11" t="s">
        <v>186</v>
      </c>
      <c r="B28" s="11" t="s">
        <v>187</v>
      </c>
      <c r="C28" s="11" t="s">
        <v>188</v>
      </c>
      <c r="D28" s="11" t="s">
        <v>189</v>
      </c>
      <c r="E28" s="11" t="s">
        <v>183</v>
      </c>
      <c r="F28" s="11" t="s">
        <v>183</v>
      </c>
      <c r="G28" s="11" t="s">
        <v>42</v>
      </c>
      <c r="H28" s="11" t="s">
        <v>190</v>
      </c>
      <c r="I28" s="11"/>
      <c r="J28" s="11" t="n">
        <v>0</v>
      </c>
      <c r="K28" s="11" t="s">
        <v>191</v>
      </c>
    </row>
    <row r="29" customFormat="false" ht="23.85" hidden="false" customHeight="false" outlineLevel="0" collapsed="false">
      <c r="A29" s="12" t="s">
        <v>192</v>
      </c>
      <c r="B29" s="12" t="s">
        <v>180</v>
      </c>
      <c r="C29" s="12" t="s">
        <v>193</v>
      </c>
      <c r="D29" s="12" t="s">
        <v>194</v>
      </c>
      <c r="E29" s="12" t="s">
        <v>130</v>
      </c>
      <c r="F29" s="12" t="s">
        <v>195</v>
      </c>
      <c r="G29" s="12" t="s">
        <v>42</v>
      </c>
      <c r="H29" s="12" t="s">
        <v>196</v>
      </c>
      <c r="I29" s="12"/>
      <c r="J29" s="12" t="n">
        <v>0</v>
      </c>
      <c r="K29" s="12" t="s">
        <v>197</v>
      </c>
    </row>
    <row r="30" customFormat="false" ht="23.85" hidden="false" customHeight="false" outlineLevel="0" collapsed="false">
      <c r="A30" s="11" t="s">
        <v>198</v>
      </c>
      <c r="B30" s="11" t="s">
        <v>199</v>
      </c>
      <c r="C30" s="11" t="s">
        <v>193</v>
      </c>
      <c r="D30" s="11" t="s">
        <v>200</v>
      </c>
      <c r="E30" s="11" t="s">
        <v>130</v>
      </c>
      <c r="F30" s="11" t="s">
        <v>195</v>
      </c>
      <c r="G30" s="11" t="s">
        <v>42</v>
      </c>
      <c r="H30" s="11" t="s">
        <v>201</v>
      </c>
      <c r="I30" s="11"/>
      <c r="J30" s="11" t="n">
        <v>0</v>
      </c>
      <c r="K30" s="11" t="s">
        <v>202</v>
      </c>
    </row>
    <row r="31" customFormat="false" ht="23.85" hidden="false" customHeight="false" outlineLevel="0" collapsed="false">
      <c r="A31" s="12" t="s">
        <v>203</v>
      </c>
      <c r="B31" s="12" t="s">
        <v>204</v>
      </c>
      <c r="C31" s="12" t="s">
        <v>193</v>
      </c>
      <c r="D31" s="12" t="s">
        <v>205</v>
      </c>
      <c r="E31" s="12" t="s">
        <v>130</v>
      </c>
      <c r="F31" s="12" t="s">
        <v>195</v>
      </c>
      <c r="G31" s="12" t="s">
        <v>42</v>
      </c>
      <c r="H31" s="12" t="s">
        <v>206</v>
      </c>
      <c r="I31" s="12"/>
      <c r="J31" s="12" t="n">
        <v>0</v>
      </c>
      <c r="K31" s="12" t="s">
        <v>207</v>
      </c>
    </row>
  </sheetData>
  <dataValidations count="2">
    <dataValidation allowBlank="true" errorStyle="stop" operator="between" showDropDown="false" showErrorMessage="false" showInputMessage="false" sqref="G4:G200" type="list">
      <formula1>"Backlog,Found,Joined,Introduced,Posted,Converted,Dead"</formula1>
      <formula2>0</formula2>
    </dataValidation>
    <dataValidation allowBlank="true" errorStyle="stop" operator="between" showDropDown="false" showErrorMessage="false" showInputMessage="false" sqref="F4:F200" type="list">
      <formula1>"Allowed,#self-promo only,Ask mods,Restricted,Banned (mostly),Owned,Varies,Unknown,Check #rules,Showoff Saturday,No self-promo,Partner/host,Community"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3" min="2" style="0" width="26"/>
  </cols>
  <sheetData>
    <row r="2" customFormat="false" ht="19.7" hidden="false" customHeight="false" outlineLevel="0" collapsed="false">
      <c r="B2" s="13" t="s">
        <v>208</v>
      </c>
    </row>
    <row r="4" customFormat="false" ht="15" hidden="false" customHeight="false" outlineLevel="0" collapsed="false">
      <c r="B4" s="14" t="s">
        <v>209</v>
      </c>
      <c r="C4" s="15" t="n">
        <f aca="false">COUNTA('Community Pipeline'!A4:A200)</f>
        <v>28</v>
      </c>
    </row>
    <row r="5" customFormat="false" ht="15" hidden="false" customHeight="false" outlineLevel="0" collapsed="false">
      <c r="B5" s="14" t="s">
        <v>210</v>
      </c>
      <c r="C5" s="15" t="n">
        <f aca="false">COUNTIF('Community Pipeline'!G4:G200,"Backlog")</f>
        <v>28</v>
      </c>
    </row>
    <row r="6" customFormat="false" ht="15" hidden="false" customHeight="false" outlineLevel="0" collapsed="false">
      <c r="B6" s="14" t="s">
        <v>211</v>
      </c>
      <c r="C6" s="15" t="n">
        <f aca="false">COUNTIF('Community Pipeline'!G4:G200,"Joined")</f>
        <v>0</v>
      </c>
    </row>
    <row r="7" customFormat="false" ht="15" hidden="false" customHeight="false" outlineLevel="0" collapsed="false">
      <c r="B7" s="14" t="s">
        <v>212</v>
      </c>
      <c r="C7" s="15" t="n">
        <f aca="false">COUNTIF('Community Pipeline'!G4:G200,"Posted")</f>
        <v>0</v>
      </c>
    </row>
    <row r="8" customFormat="false" ht="15" hidden="false" customHeight="false" outlineLevel="0" collapsed="false">
      <c r="B8" s="14" t="s">
        <v>213</v>
      </c>
      <c r="C8" s="15" t="n">
        <f aca="false">COUNTIF('Community Pipeline'!G4:G200,"Converted")</f>
        <v>0</v>
      </c>
    </row>
    <row r="9" customFormat="false" ht="15" hidden="false" customHeight="false" outlineLevel="0" collapsed="false">
      <c r="B9" s="14" t="s">
        <v>214</v>
      </c>
      <c r="C9" s="15" t="n">
        <f aca="false">SUM('Community Pipeline'!J4:J200)</f>
        <v>0</v>
      </c>
    </row>
    <row r="10" customFormat="false" ht="15" hidden="false" customHeight="false" outlineLevel="0" collapsed="false">
      <c r="B10" s="14" t="s">
        <v>215</v>
      </c>
      <c r="C10" s="16" t="n">
        <f aca="false">IFERROR(C8/(C6+C7),0)</f>
        <v>0</v>
      </c>
    </row>
    <row r="13" customFormat="false" ht="15" hidden="false" customHeight="false" outlineLevel="0" collapsed="false">
      <c r="B13" s="17" t="s">
        <v>216</v>
      </c>
      <c r="C13" s="17"/>
    </row>
  </sheetData>
  <mergeCells count="1">
    <mergeCell ref="B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38"/>
    <col collapsed="false" customWidth="true" hidden="false" outlineLevel="0" max="4" min="4" style="0" width="40"/>
    <col collapsed="false" customWidth="true" hidden="false" outlineLevel="0" max="5" min="5" style="0" width="28"/>
  </cols>
  <sheetData>
    <row r="1" customFormat="false" ht="16.15" hidden="false" customHeight="false" outlineLevel="0" collapsed="false">
      <c r="A1" s="9" t="s">
        <v>217</v>
      </c>
    </row>
    <row r="3" customFormat="false" ht="30" hidden="false" customHeight="true" outlineLevel="0" collapsed="false">
      <c r="A3" s="10" t="s">
        <v>218</v>
      </c>
      <c r="B3" s="10" t="s">
        <v>219</v>
      </c>
      <c r="C3" s="10" t="s">
        <v>220</v>
      </c>
      <c r="D3" s="10" t="s">
        <v>221</v>
      </c>
      <c r="E3" s="10" t="s">
        <v>35</v>
      </c>
    </row>
    <row r="4" customFormat="false" ht="35.05" hidden="false" customHeight="false" outlineLevel="0" collapsed="false">
      <c r="A4" s="11" t="s">
        <v>222</v>
      </c>
      <c r="B4" s="11" t="s">
        <v>223</v>
      </c>
      <c r="C4" s="11" t="s">
        <v>224</v>
      </c>
      <c r="D4" s="11" t="s">
        <v>225</v>
      </c>
      <c r="E4" s="11" t="s">
        <v>226</v>
      </c>
    </row>
    <row r="5" customFormat="false" ht="23.85" hidden="false" customHeight="false" outlineLevel="0" collapsed="false">
      <c r="A5" s="12" t="s">
        <v>227</v>
      </c>
      <c r="B5" s="12" t="s">
        <v>223</v>
      </c>
      <c r="C5" s="12" t="s">
        <v>228</v>
      </c>
      <c r="D5" s="12" t="s">
        <v>229</v>
      </c>
      <c r="E5" s="12" t="s">
        <v>230</v>
      </c>
    </row>
    <row r="6" customFormat="false" ht="23.85" hidden="false" customHeight="false" outlineLevel="0" collapsed="false">
      <c r="A6" s="11" t="s">
        <v>231</v>
      </c>
      <c r="B6" s="11" t="s">
        <v>223</v>
      </c>
      <c r="C6" s="11" t="s">
        <v>232</v>
      </c>
      <c r="D6" s="11" t="s">
        <v>233</v>
      </c>
      <c r="E6" s="11" t="s">
        <v>234</v>
      </c>
    </row>
    <row r="7" customFormat="false" ht="23.85" hidden="false" customHeight="false" outlineLevel="0" collapsed="false">
      <c r="A7" s="12" t="s">
        <v>235</v>
      </c>
      <c r="B7" s="12" t="s">
        <v>236</v>
      </c>
      <c r="C7" s="12" t="s">
        <v>237</v>
      </c>
      <c r="D7" s="12" t="s">
        <v>238</v>
      </c>
      <c r="E7" s="12" t="s">
        <v>239</v>
      </c>
    </row>
    <row r="8" customFormat="false" ht="23.85" hidden="false" customHeight="false" outlineLevel="0" collapsed="false">
      <c r="A8" s="11" t="s">
        <v>240</v>
      </c>
      <c r="B8" s="11" t="s">
        <v>241</v>
      </c>
      <c r="C8" s="11" t="s">
        <v>189</v>
      </c>
      <c r="D8" s="11" t="s">
        <v>242</v>
      </c>
      <c r="E8" s="11" t="s">
        <v>243</v>
      </c>
    </row>
    <row r="9" customFormat="false" ht="23.85" hidden="false" customHeight="false" outlineLevel="0" collapsed="false">
      <c r="A9" s="12" t="s">
        <v>244</v>
      </c>
      <c r="B9" s="12" t="s">
        <v>241</v>
      </c>
      <c r="C9" s="12" t="s">
        <v>245</v>
      </c>
      <c r="D9" s="12" t="s">
        <v>246</v>
      </c>
      <c r="E9" s="12" t="s">
        <v>247</v>
      </c>
    </row>
    <row r="10" customFormat="false" ht="23.85" hidden="false" customHeight="false" outlineLevel="0" collapsed="false">
      <c r="A10" s="11" t="s">
        <v>248</v>
      </c>
      <c r="B10" s="11" t="s">
        <v>80</v>
      </c>
      <c r="C10" s="11" t="s">
        <v>249</v>
      </c>
      <c r="D10" s="11" t="s">
        <v>250</v>
      </c>
      <c r="E10" s="11" t="s">
        <v>251</v>
      </c>
    </row>
    <row r="11" customFormat="false" ht="23.85" hidden="false" customHeight="false" outlineLevel="0" collapsed="false">
      <c r="A11" s="12" t="s">
        <v>252</v>
      </c>
      <c r="B11" s="12" t="s">
        <v>180</v>
      </c>
      <c r="C11" s="12" t="s">
        <v>182</v>
      </c>
      <c r="D11" s="12" t="s">
        <v>253</v>
      </c>
      <c r="E11" s="12" t="s">
        <v>254</v>
      </c>
    </row>
    <row r="12" customFormat="false" ht="23.85" hidden="false" customHeight="false" outlineLevel="0" collapsed="false">
      <c r="A12" s="11" t="s">
        <v>255</v>
      </c>
      <c r="B12" s="11" t="s">
        <v>127</v>
      </c>
      <c r="C12" s="11" t="s">
        <v>256</v>
      </c>
      <c r="D12" s="11" t="s">
        <v>257</v>
      </c>
      <c r="E12" s="11" t="s">
        <v>258</v>
      </c>
    </row>
    <row r="13" customFormat="false" ht="23.85" hidden="false" customHeight="false" outlineLevel="0" collapsed="false">
      <c r="A13" s="12" t="s">
        <v>259</v>
      </c>
      <c r="B13" s="12" t="s">
        <v>156</v>
      </c>
      <c r="C13" s="12" t="s">
        <v>158</v>
      </c>
      <c r="D13" s="12" t="s">
        <v>260</v>
      </c>
      <c r="E13" s="12" t="s">
        <v>261</v>
      </c>
    </row>
    <row r="14" customFormat="false" ht="23.85" hidden="false" customHeight="false" outlineLevel="0" collapsed="false">
      <c r="A14" s="11" t="s">
        <v>262</v>
      </c>
      <c r="B14" s="11" t="s">
        <v>263</v>
      </c>
      <c r="C14" s="11" t="s">
        <v>264</v>
      </c>
      <c r="D14" s="11" t="s">
        <v>265</v>
      </c>
      <c r="E14" s="11" t="s">
        <v>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72"/>
    <col collapsed="false" customWidth="true" hidden="false" outlineLevel="0" max="4" min="4" style="0" width="26"/>
  </cols>
  <sheetData>
    <row r="1" customFormat="false" ht="16.15" hidden="false" customHeight="false" outlineLevel="0" collapsed="false">
      <c r="A1" s="9" t="s">
        <v>267</v>
      </c>
    </row>
    <row r="3" customFormat="false" ht="30" hidden="false" customHeight="true" outlineLevel="0" collapsed="false">
      <c r="A3" s="10" t="s">
        <v>268</v>
      </c>
      <c r="B3" s="10" t="s">
        <v>269</v>
      </c>
      <c r="C3" s="10" t="s">
        <v>270</v>
      </c>
      <c r="D3" s="10" t="s">
        <v>271</v>
      </c>
    </row>
    <row r="4" customFormat="false" ht="117.75" hidden="false" customHeight="true" outlineLevel="0" collapsed="false">
      <c r="A4" s="12" t="s">
        <v>180</v>
      </c>
      <c r="B4" s="12" t="s">
        <v>272</v>
      </c>
      <c r="C4" s="12" t="s">
        <v>273</v>
      </c>
      <c r="D4" s="12" t="s">
        <v>274</v>
      </c>
    </row>
    <row r="5" customFormat="false" ht="117.75" hidden="false" customHeight="true" outlineLevel="0" collapsed="false">
      <c r="A5" s="12" t="s">
        <v>199</v>
      </c>
      <c r="B5" s="12" t="s">
        <v>275</v>
      </c>
      <c r="C5" s="12" t="s">
        <v>276</v>
      </c>
      <c r="D5" s="12" t="s">
        <v>277</v>
      </c>
    </row>
    <row r="6" customFormat="false" ht="117.75" hidden="false" customHeight="true" outlineLevel="0" collapsed="false">
      <c r="A6" s="12" t="s">
        <v>278</v>
      </c>
      <c r="B6" s="12" t="s">
        <v>279</v>
      </c>
      <c r="C6" s="12" t="s">
        <v>280</v>
      </c>
      <c r="D6" s="12" t="s">
        <v>281</v>
      </c>
    </row>
    <row r="7" customFormat="false" ht="117.75" hidden="false" customHeight="true" outlineLevel="0" collapsed="false">
      <c r="A7" s="12" t="s">
        <v>282</v>
      </c>
      <c r="B7" s="12" t="s">
        <v>283</v>
      </c>
      <c r="C7" s="12" t="s">
        <v>284</v>
      </c>
      <c r="D7" s="12" t="s">
        <v>285</v>
      </c>
    </row>
    <row r="8" customFormat="false" ht="117.75" hidden="false" customHeight="true" outlineLevel="0" collapsed="false">
      <c r="A8" s="12" t="s">
        <v>80</v>
      </c>
      <c r="B8" s="12" t="s">
        <v>286</v>
      </c>
      <c r="C8" s="12" t="s">
        <v>287</v>
      </c>
      <c r="D8" s="12" t="s">
        <v>288</v>
      </c>
    </row>
    <row r="9" customFormat="false" ht="117.75" hidden="false" customHeight="true" outlineLevel="0" collapsed="false">
      <c r="A9" s="12" t="s">
        <v>289</v>
      </c>
      <c r="B9" s="12" t="s">
        <v>290</v>
      </c>
      <c r="C9" s="12" t="s">
        <v>291</v>
      </c>
      <c r="D9" s="12" t="s">
        <v>292</v>
      </c>
    </row>
    <row r="10" customFormat="false" ht="117.75" hidden="false" customHeight="true" outlineLevel="0" collapsed="false">
      <c r="A10" s="12" t="s">
        <v>293</v>
      </c>
      <c r="B10" s="12" t="s">
        <v>294</v>
      </c>
      <c r="C10" s="12" t="s">
        <v>295</v>
      </c>
      <c r="D10" s="12" t="s">
        <v>296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3" min="3" style="0" width="30"/>
    <col collapsed="false" customWidth="true" hidden="false" outlineLevel="0" max="4" min="4" style="0" width="58"/>
  </cols>
  <sheetData>
    <row r="2" customFormat="false" ht="17.35" hidden="false" customHeight="false" outlineLevel="0" collapsed="false">
      <c r="B2" s="18" t="s">
        <v>297</v>
      </c>
    </row>
    <row r="4" customFormat="false" ht="15" hidden="false" customHeight="false" outlineLevel="0" collapsed="false">
      <c r="B4" s="19" t="s">
        <v>298</v>
      </c>
      <c r="C4" s="20" t="s">
        <v>299</v>
      </c>
    </row>
    <row r="5" customFormat="false" ht="15" hidden="false" customHeight="false" outlineLevel="0" collapsed="false">
      <c r="B5" s="19" t="s">
        <v>300</v>
      </c>
      <c r="C5" s="20" t="s">
        <v>43</v>
      </c>
    </row>
    <row r="6" customFormat="false" ht="15" hidden="false" customHeight="false" outlineLevel="0" collapsed="false">
      <c r="B6" s="19" t="s">
        <v>301</v>
      </c>
      <c r="C6" s="20" t="s">
        <v>302</v>
      </c>
    </row>
    <row r="7" customFormat="false" ht="15" hidden="false" customHeight="false" outlineLevel="0" collapsed="false">
      <c r="B7" s="19" t="s">
        <v>303</v>
      </c>
      <c r="C7" s="20" t="s">
        <v>304</v>
      </c>
    </row>
    <row r="9" customFormat="false" ht="26.85" hidden="false" customHeight="false" outlineLevel="0" collapsed="false">
      <c r="B9" s="21" t="s">
        <v>305</v>
      </c>
      <c r="C9" s="22" t="str">
        <f aca="false">C4&amp;"?utm_source="&amp;C5&amp;"&amp;utm_medium="&amp;C6&amp;"&amp;utm_campaign="&amp;C7</f>
        <v>https://resumeforge-opal.vercel.app/?utm_source=discord_codingden&amp;utm_medium=community&amp;utm_campaign=launch</v>
      </c>
      <c r="D9" s="22"/>
    </row>
    <row r="11" customFormat="false" ht="15" hidden="false" customHeight="true" outlineLevel="0" collapsed="false">
      <c r="B11" s="19" t="s">
        <v>306</v>
      </c>
      <c r="C11" s="7" t="s">
        <v>307</v>
      </c>
      <c r="D11" s="7"/>
    </row>
    <row r="12" customFormat="false" ht="15" hidden="false" customHeight="false" outlineLevel="0" collapsed="false">
      <c r="C12" s="7"/>
      <c r="D12" s="7"/>
    </row>
    <row r="13" customFormat="false" ht="15" hidden="false" customHeight="false" outlineLevel="0" collapsed="false">
      <c r="C13" s="7"/>
      <c r="D13" s="7"/>
    </row>
    <row r="14" customFormat="false" ht="15" hidden="false" customHeight="false" outlineLevel="0" collapsed="false">
      <c r="C14" s="7"/>
      <c r="D14" s="7"/>
    </row>
  </sheetData>
  <mergeCells count="2">
    <mergeCell ref="C9:D9"/>
    <mergeCell ref="C11: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2026-07-07T19:14:33Z</dcterms:created>
  <dc:creator>openpyxl</dc:creator>
  <dc:description/>
  <dc:language>en-US</dc:language>
  <cp:lastModifiedBy/>
  <dcterms:modified xsi:type="dcterms:W3CDTF">2026-07-07T19:14:33Z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